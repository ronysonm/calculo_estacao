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S\Desktop\"/>
    </mc:Choice>
  </mc:AlternateContent>
  <xr:revisionPtr revIDLastSave="0" documentId="8_{94916947-AB3B-4DDE-A4A7-E25E852B8585}" xr6:coauthVersionLast="47" xr6:coauthVersionMax="47" xr10:uidLastSave="{00000000-0000-0000-0000-000000000000}"/>
  <bookViews>
    <workbookView xWindow="720" yWindow="0" windowWidth="24975" windowHeight="14580" xr2:uid="{FF4DA5A3-1BDB-4453-A90D-B1DF1F7479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1" l="1"/>
  <c r="AC17" i="1"/>
  <c r="AB17" i="1"/>
  <c r="V17" i="1"/>
  <c r="U17" i="1"/>
  <c r="T17" i="1"/>
  <c r="N17" i="1"/>
  <c r="M17" i="1"/>
  <c r="L17" i="1"/>
  <c r="F16" i="1"/>
  <c r="L16" i="1" s="1"/>
  <c r="E16" i="1"/>
  <c r="F15" i="1"/>
  <c r="E15" i="1"/>
  <c r="D15" i="1"/>
  <c r="AD12" i="1"/>
  <c r="AC12" i="1"/>
  <c r="AB12" i="1"/>
  <c r="V12" i="1"/>
  <c r="U12" i="1"/>
  <c r="T12" i="1"/>
  <c r="N12" i="1"/>
  <c r="M12" i="1"/>
  <c r="L12" i="1"/>
  <c r="F11" i="1"/>
  <c r="L11" i="1" s="1"/>
  <c r="E11" i="1"/>
  <c r="F10" i="1"/>
  <c r="E10" i="1"/>
  <c r="D10" i="1"/>
  <c r="AD7" i="1"/>
  <c r="AC7" i="1"/>
  <c r="AB7" i="1"/>
  <c r="V7" i="1"/>
  <c r="U7" i="1"/>
  <c r="T7" i="1"/>
  <c r="F6" i="1"/>
  <c r="F5" i="1" s="1"/>
  <c r="E6" i="1"/>
  <c r="E5" i="1" s="1"/>
  <c r="D5" i="1"/>
  <c r="N7" i="1"/>
  <c r="M7" i="1"/>
  <c r="L7" i="1"/>
  <c r="M16" i="1" l="1"/>
  <c r="M15" i="1" s="1"/>
  <c r="L15" i="1"/>
  <c r="N16" i="1"/>
  <c r="M11" i="1"/>
  <c r="M10" i="1" s="1"/>
  <c r="N11" i="1"/>
  <c r="L10" i="1"/>
  <c r="L6" i="1"/>
  <c r="N6" i="1"/>
  <c r="M6" i="1"/>
  <c r="M5" i="1" s="1"/>
  <c r="L5" i="1"/>
  <c r="N15" i="1" l="1"/>
  <c r="T16" i="1"/>
  <c r="N10" i="1"/>
  <c r="T11" i="1"/>
  <c r="N5" i="1"/>
  <c r="T6" i="1"/>
  <c r="V16" i="1" l="1"/>
  <c r="T15" i="1"/>
  <c r="U16" i="1"/>
  <c r="U15" i="1" s="1"/>
  <c r="T10" i="1"/>
  <c r="V11" i="1"/>
  <c r="U11" i="1"/>
  <c r="U10" i="1" s="1"/>
  <c r="U6" i="1"/>
  <c r="U5" i="1" s="1"/>
  <c r="T5" i="1"/>
  <c r="V6" i="1"/>
  <c r="AB16" i="1" l="1"/>
  <c r="V15" i="1"/>
  <c r="V10" i="1"/>
  <c r="AB11" i="1"/>
  <c r="V5" i="1"/>
  <c r="AB6" i="1"/>
  <c r="AB15" i="1" l="1"/>
  <c r="AD16" i="1"/>
  <c r="AD15" i="1" s="1"/>
  <c r="AC16" i="1"/>
  <c r="AC15" i="1" s="1"/>
  <c r="AC11" i="1"/>
  <c r="AC10" i="1" s="1"/>
  <c r="AB10" i="1"/>
  <c r="AD11" i="1"/>
  <c r="AD10" i="1" s="1"/>
  <c r="AC6" i="1"/>
  <c r="AC5" i="1" s="1"/>
  <c r="AB5" i="1"/>
  <c r="AD6" i="1"/>
  <c r="AD5" i="1" s="1"/>
</calcChain>
</file>

<file path=xl/sharedStrings.xml><?xml version="1.0" encoding="utf-8"?>
<sst xmlns="http://schemas.openxmlformats.org/spreadsheetml/2006/main" count="106" uniqueCount="16">
  <si>
    <t>D0</t>
  </si>
  <si>
    <t>D7</t>
  </si>
  <si>
    <t>D9</t>
  </si>
  <si>
    <t>Rodada 1</t>
  </si>
  <si>
    <t>Data</t>
  </si>
  <si>
    <t>Dia</t>
  </si>
  <si>
    <t>Mais 1 dia</t>
  </si>
  <si>
    <t>Menos 1 dia</t>
  </si>
  <si>
    <t>dias</t>
  </si>
  <si>
    <t>Rodada 2</t>
  </si>
  <si>
    <t>Rodada 3</t>
  </si>
  <si>
    <t>Rodada 4</t>
  </si>
  <si>
    <t>Dia do ciclo</t>
  </si>
  <si>
    <t>Lote 2</t>
  </si>
  <si>
    <t>Lote 1</t>
  </si>
  <si>
    <t>Lote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</si>
</sst>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Border="1"/>
    <xf numFmtId="14" fontId="0" fillId="0" borderId="4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4" fontId="0" fillId="0" borderId="0" xfId="0" applyNumberFormat="1" applyFill="1" applyBorder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662-DD8F-42D9-9784-78C9A0FD67B9}">
  <dimension ref="B1:AD17"/>
  <sheetViews>
    <sheetView tabSelected="1" workbookViewId="0">
      <selection activeCell="C15" sqref="C15"/>
    </sheetView>
  </sheetViews>
  <sheetFormatPr defaultRowHeight="15" x14ac:dyDescent="0.25"/>
  <cols>
    <col min="1" max="1" width="1.85546875" customWidth="1"/>
    <col min="3" max="3" width="7.85546875" customWidth="1"/>
    <col min="4" max="5" width="13.42578125" bestFit="1" customWidth="1"/>
    <col min="6" max="6" width="11.5703125" bestFit="1" customWidth="1"/>
    <col min="7" max="7" width="1.7109375" customWidth="1"/>
    <col min="8" max="8" width="11.5703125" bestFit="1" customWidth="1"/>
    <col min="9" max="9" width="11.28515625" customWidth="1"/>
    <col min="10" max="10" width="1.28515625" customWidth="1"/>
    <col min="11" max="11" width="8.42578125" customWidth="1"/>
    <col min="12" max="12" width="13.42578125" customWidth="1"/>
    <col min="13" max="13" width="11.5703125" customWidth="1"/>
    <col min="14" max="14" width="11.85546875" customWidth="1"/>
    <col min="15" max="15" width="1.28515625" customWidth="1"/>
    <col min="16" max="16" width="11.5703125" bestFit="1" customWidth="1"/>
    <col min="17" max="17" width="10" bestFit="1" customWidth="1"/>
    <col min="18" max="18" width="1" customWidth="1"/>
    <col min="19" max="19" width="7.7109375" customWidth="1"/>
    <col min="20" max="21" width="10.42578125" bestFit="1" customWidth="1"/>
    <col min="22" max="22" width="13.42578125" customWidth="1"/>
    <col min="23" max="23" width="1.28515625" customWidth="1"/>
    <col min="24" max="24" width="11.5703125" bestFit="1" customWidth="1"/>
    <col min="25" max="25" width="10" bestFit="1" customWidth="1"/>
    <col min="26" max="26" width="1.140625" customWidth="1"/>
    <col min="28" max="29" width="11.5703125" bestFit="1" customWidth="1"/>
    <col min="30" max="30" width="10.42578125" bestFit="1" customWidth="1"/>
  </cols>
  <sheetData>
    <row r="1" spans="2:30" ht="15.75" thickBot="1" x14ac:dyDescent="0.3"/>
    <row r="2" spans="2:30" ht="15.75" thickBot="1" x14ac:dyDescent="0.3">
      <c r="C2" s="6" t="s">
        <v>3</v>
      </c>
      <c r="D2" s="7"/>
      <c r="E2" s="7"/>
      <c r="F2" s="8"/>
      <c r="K2" s="6" t="s">
        <v>9</v>
      </c>
      <c r="L2" s="7"/>
      <c r="M2" s="7"/>
      <c r="N2" s="8"/>
      <c r="S2" s="6" t="s">
        <v>10</v>
      </c>
      <c r="T2" s="7"/>
      <c r="U2" s="7"/>
      <c r="V2" s="8"/>
      <c r="AA2" s="6" t="s">
        <v>11</v>
      </c>
      <c r="AB2" s="7"/>
      <c r="AC2" s="7"/>
      <c r="AD2" s="8"/>
    </row>
    <row r="4" spans="2:30" x14ac:dyDescent="0.25">
      <c r="C4" s="9"/>
      <c r="D4" s="16" t="s">
        <v>0</v>
      </c>
      <c r="E4" s="16" t="s">
        <v>1</v>
      </c>
      <c r="F4" s="16" t="s">
        <v>2</v>
      </c>
      <c r="K4" s="9"/>
      <c r="L4" s="10" t="s">
        <v>0</v>
      </c>
      <c r="M4" s="16" t="s">
        <v>1</v>
      </c>
      <c r="N4" s="10" t="s">
        <v>2</v>
      </c>
      <c r="S4" s="9"/>
      <c r="T4" s="10" t="s">
        <v>0</v>
      </c>
      <c r="U4" s="16" t="s">
        <v>1</v>
      </c>
      <c r="V4" s="10" t="s">
        <v>2</v>
      </c>
      <c r="AA4" s="9"/>
      <c r="AB4" s="10" t="s">
        <v>0</v>
      </c>
      <c r="AC4" s="16" t="s">
        <v>1</v>
      </c>
      <c r="AD4" s="10" t="s">
        <v>2</v>
      </c>
    </row>
    <row r="5" spans="2:30" s="1" customFormat="1" ht="15" customHeight="1" x14ac:dyDescent="0.25">
      <c r="B5" s="15" t="s">
        <v>14</v>
      </c>
      <c r="C5" s="11" t="s">
        <v>5</v>
      </c>
      <c r="D5" s="20" t="str">
        <f>TEXT(D6,"dddd")</f>
        <v>segunda-feira</v>
      </c>
      <c r="E5" s="20" t="str">
        <f>TEXT(E6,"dddd")</f>
        <v>segunda-feira</v>
      </c>
      <c r="F5" s="20" t="str">
        <f>TEXT(F6,"dddd")</f>
        <v>quarta-feira</v>
      </c>
      <c r="H5" s="21" t="s">
        <v>7</v>
      </c>
      <c r="I5" s="21" t="s">
        <v>6</v>
      </c>
      <c r="K5" s="11" t="s">
        <v>5</v>
      </c>
      <c r="L5" s="1" t="str">
        <f>TEXT(L6,"dddd")</f>
        <v>quinta-feira</v>
      </c>
      <c r="M5" s="22" t="str">
        <f>TEXT(M6,"dddd")</f>
        <v>quinta-feira</v>
      </c>
      <c r="N5" s="23" t="str">
        <f>TEXT(N6,"dddd")</f>
        <v>sábado</v>
      </c>
      <c r="P5" s="21" t="s">
        <v>7</v>
      </c>
      <c r="Q5" s="21" t="s">
        <v>6</v>
      </c>
      <c r="S5" s="11" t="s">
        <v>5</v>
      </c>
      <c r="T5" s="1" t="str">
        <f>TEXT(T6,"dddd")</f>
        <v>sábado</v>
      </c>
      <c r="U5" s="22" t="str">
        <f>TEXT(U6,"dddd")</f>
        <v>sábado</v>
      </c>
      <c r="V5" s="23" t="str">
        <f>TEXT(V6,"dddd")</f>
        <v>segunda-feira</v>
      </c>
      <c r="X5" s="21" t="s">
        <v>7</v>
      </c>
      <c r="Y5" s="21" t="s">
        <v>6</v>
      </c>
      <c r="AA5" s="11" t="s">
        <v>5</v>
      </c>
      <c r="AB5" s="1" t="str">
        <f>TEXT(AB6,"dddd")</f>
        <v>terça-feira</v>
      </c>
      <c r="AC5" s="22" t="str">
        <f>TEXT(AC6,"dddd")</f>
        <v>terça-feira</v>
      </c>
      <c r="AD5" s="23" t="str">
        <f>TEXT(AD6,"dddd")</f>
        <v>quinta-feira</v>
      </c>
    </row>
    <row r="6" spans="2:30" ht="15" customHeight="1" x14ac:dyDescent="0.25">
      <c r="B6" s="15"/>
      <c r="C6" s="11" t="s">
        <v>4</v>
      </c>
      <c r="D6" s="17">
        <v>46055</v>
      </c>
      <c r="E6" s="17">
        <f>D6+7</f>
        <v>46062</v>
      </c>
      <c r="F6" s="17">
        <f>D6+9</f>
        <v>46064</v>
      </c>
      <c r="H6" s="13">
        <v>22</v>
      </c>
      <c r="I6" s="13"/>
      <c r="K6" s="11" t="s">
        <v>4</v>
      </c>
      <c r="L6" s="2">
        <f>F6+H6</f>
        <v>46086</v>
      </c>
      <c r="M6" s="17">
        <f>L6+7</f>
        <v>46093</v>
      </c>
      <c r="N6" s="3">
        <f>L6+9</f>
        <v>46095</v>
      </c>
      <c r="P6" s="13">
        <v>21</v>
      </c>
      <c r="Q6" s="13"/>
      <c r="S6" s="11" t="s">
        <v>4</v>
      </c>
      <c r="T6" s="2">
        <f>N6+P6</f>
        <v>46116</v>
      </c>
      <c r="U6" s="17">
        <f>T6+7</f>
        <v>46123</v>
      </c>
      <c r="V6" s="3">
        <f>T6+9</f>
        <v>46125</v>
      </c>
      <c r="X6" s="13">
        <v>22</v>
      </c>
      <c r="Y6" s="13"/>
      <c r="AA6" s="11" t="s">
        <v>4</v>
      </c>
      <c r="AB6" s="2">
        <f>V6+X6</f>
        <v>46147</v>
      </c>
      <c r="AC6" s="17">
        <f>AB6+7</f>
        <v>46154</v>
      </c>
      <c r="AD6" s="3">
        <f>AB6+9</f>
        <v>46156</v>
      </c>
    </row>
    <row r="7" spans="2:30" ht="15" customHeight="1" x14ac:dyDescent="0.25">
      <c r="B7" s="15"/>
      <c r="C7" s="12" t="s">
        <v>12</v>
      </c>
      <c r="D7" s="18">
        <v>0</v>
      </c>
      <c r="E7" s="18">
        <v>7</v>
      </c>
      <c r="F7" s="19">
        <v>9</v>
      </c>
      <c r="H7" s="14" t="s">
        <v>8</v>
      </c>
      <c r="I7" s="14"/>
      <c r="K7" s="12" t="s">
        <v>12</v>
      </c>
      <c r="L7" s="4">
        <f>H6</f>
        <v>22</v>
      </c>
      <c r="M7" s="18">
        <f>H6+7</f>
        <v>29</v>
      </c>
      <c r="N7" s="5">
        <f>H6+9</f>
        <v>31</v>
      </c>
      <c r="P7" s="14" t="s">
        <v>8</v>
      </c>
      <c r="Q7" s="14"/>
      <c r="S7" s="12" t="s">
        <v>12</v>
      </c>
      <c r="T7" s="4">
        <f>P6</f>
        <v>21</v>
      </c>
      <c r="U7" s="18">
        <f>P6+7</f>
        <v>28</v>
      </c>
      <c r="V7" s="5">
        <f>P6+9</f>
        <v>30</v>
      </c>
      <c r="X7" s="14" t="s">
        <v>8</v>
      </c>
      <c r="Y7" s="14"/>
      <c r="AA7" s="12" t="s">
        <v>12</v>
      </c>
      <c r="AB7" s="4">
        <f>X6</f>
        <v>22</v>
      </c>
      <c r="AC7" s="18">
        <f>X6+7</f>
        <v>29</v>
      </c>
      <c r="AD7" s="5">
        <f>X6+9</f>
        <v>31</v>
      </c>
    </row>
    <row r="9" spans="2:30" x14ac:dyDescent="0.25">
      <c r="C9" s="9"/>
      <c r="D9" s="16" t="s">
        <v>0</v>
      </c>
      <c r="E9" s="16" t="s">
        <v>1</v>
      </c>
      <c r="F9" s="16" t="s">
        <v>2</v>
      </c>
      <c r="K9" s="9"/>
      <c r="L9" s="10" t="s">
        <v>0</v>
      </c>
      <c r="M9" s="16" t="s">
        <v>1</v>
      </c>
      <c r="N9" s="10" t="s">
        <v>2</v>
      </c>
      <c r="S9" s="9"/>
      <c r="T9" s="10" t="s">
        <v>0</v>
      </c>
      <c r="U9" s="16" t="s">
        <v>1</v>
      </c>
      <c r="V9" s="10" t="s">
        <v>2</v>
      </c>
      <c r="AA9" s="9"/>
      <c r="AB9" s="10" t="s">
        <v>0</v>
      </c>
      <c r="AC9" s="16" t="s">
        <v>1</v>
      </c>
      <c r="AD9" s="10" t="s">
        <v>2</v>
      </c>
    </row>
    <row r="10" spans="2:30" s="1" customFormat="1" x14ac:dyDescent="0.25">
      <c r="B10" s="15" t="s">
        <v>13</v>
      </c>
      <c r="C10" s="11" t="s">
        <v>5</v>
      </c>
      <c r="D10" s="20" t="str">
        <f>TEXT(D11,"dddd")</f>
        <v>segunda-feira</v>
      </c>
      <c r="E10" s="20" t="str">
        <f>TEXT(E11,"dddd")</f>
        <v>segunda-feira</v>
      </c>
      <c r="F10" s="20" t="str">
        <f>TEXT(F11,"dddd")</f>
        <v>quarta-feira</v>
      </c>
      <c r="H10" s="21" t="s">
        <v>7</v>
      </c>
      <c r="I10" s="21" t="s">
        <v>6</v>
      </c>
      <c r="K10" s="11" t="s">
        <v>5</v>
      </c>
      <c r="L10" s="1" t="str">
        <f>TEXT(L11,"dddd")</f>
        <v>quinta-feira</v>
      </c>
      <c r="M10" s="22" t="str">
        <f>TEXT(M11,"dddd")</f>
        <v>quinta-feira</v>
      </c>
      <c r="N10" s="23" t="str">
        <f>TEXT(N11,"dddd")</f>
        <v>sábado</v>
      </c>
      <c r="P10" s="21" t="s">
        <v>7</v>
      </c>
      <c r="Q10" s="21" t="s">
        <v>6</v>
      </c>
      <c r="S10" s="11" t="s">
        <v>5</v>
      </c>
      <c r="T10" s="1" t="str">
        <f>TEXT(T11,"dddd")</f>
        <v>sábado</v>
      </c>
      <c r="U10" s="22" t="str">
        <f>TEXT(U11,"dddd")</f>
        <v>sábado</v>
      </c>
      <c r="V10" s="23" t="str">
        <f>TEXT(V11,"dddd")</f>
        <v>segunda-feira</v>
      </c>
      <c r="X10" s="21" t="s">
        <v>7</v>
      </c>
      <c r="Y10" s="21" t="s">
        <v>6</v>
      </c>
      <c r="AA10" s="11" t="s">
        <v>5</v>
      </c>
      <c r="AB10" s="1" t="str">
        <f>TEXT(AB11,"dddd")</f>
        <v>terça-feira</v>
      </c>
      <c r="AC10" s="22" t="str">
        <f>TEXT(AC11,"dddd")</f>
        <v>terça-feira</v>
      </c>
      <c r="AD10" s="23" t="str">
        <f>TEXT(AD11,"dddd")</f>
        <v>quinta-feira</v>
      </c>
    </row>
    <row r="11" spans="2:30" x14ac:dyDescent="0.25">
      <c r="B11" s="15"/>
      <c r="C11" s="11" t="s">
        <v>4</v>
      </c>
      <c r="D11" s="17">
        <v>46055</v>
      </c>
      <c r="E11" s="17">
        <f>D11+7</f>
        <v>46062</v>
      </c>
      <c r="F11" s="17">
        <f>D11+9</f>
        <v>46064</v>
      </c>
      <c r="H11" s="13">
        <v>22</v>
      </c>
      <c r="I11" s="13"/>
      <c r="K11" s="11" t="s">
        <v>4</v>
      </c>
      <c r="L11" s="2">
        <f>F11+H11</f>
        <v>46086</v>
      </c>
      <c r="M11" s="17">
        <f>L11+7</f>
        <v>46093</v>
      </c>
      <c r="N11" s="3">
        <f>L11+9</f>
        <v>46095</v>
      </c>
      <c r="P11" s="13">
        <v>21</v>
      </c>
      <c r="Q11" s="13"/>
      <c r="S11" s="11" t="s">
        <v>4</v>
      </c>
      <c r="T11" s="2">
        <f>N11+P11</f>
        <v>46116</v>
      </c>
      <c r="U11" s="17">
        <f>T11+7</f>
        <v>46123</v>
      </c>
      <c r="V11" s="3">
        <f>T11+9</f>
        <v>46125</v>
      </c>
      <c r="X11" s="13">
        <v>22</v>
      </c>
      <c r="Y11" s="13"/>
      <c r="AA11" s="11" t="s">
        <v>4</v>
      </c>
      <c r="AB11" s="2">
        <f>V11+X11</f>
        <v>46147</v>
      </c>
      <c r="AC11" s="17">
        <f>AB11+7</f>
        <v>46154</v>
      </c>
      <c r="AD11" s="3">
        <f>AB11+9</f>
        <v>46156</v>
      </c>
    </row>
    <row r="12" spans="2:30" x14ac:dyDescent="0.25">
      <c r="B12" s="15"/>
      <c r="C12" s="12" t="s">
        <v>12</v>
      </c>
      <c r="D12" s="18">
        <v>0</v>
      </c>
      <c r="E12" s="18">
        <v>7</v>
      </c>
      <c r="F12" s="19">
        <v>9</v>
      </c>
      <c r="H12" s="14" t="s">
        <v>8</v>
      </c>
      <c r="I12" s="14"/>
      <c r="K12" s="12" t="s">
        <v>12</v>
      </c>
      <c r="L12" s="4">
        <f>H11</f>
        <v>22</v>
      </c>
      <c r="M12" s="18">
        <f>H11+7</f>
        <v>29</v>
      </c>
      <c r="N12" s="5">
        <f>H11+9</f>
        <v>31</v>
      </c>
      <c r="P12" s="14" t="s">
        <v>8</v>
      </c>
      <c r="Q12" s="14"/>
      <c r="S12" s="12" t="s">
        <v>12</v>
      </c>
      <c r="T12" s="4">
        <f>P11</f>
        <v>21</v>
      </c>
      <c r="U12" s="18">
        <f>P11+7</f>
        <v>28</v>
      </c>
      <c r="V12" s="5">
        <f>P11+9</f>
        <v>30</v>
      </c>
      <c r="X12" s="14" t="s">
        <v>8</v>
      </c>
      <c r="Y12" s="14"/>
      <c r="AA12" s="12" t="s">
        <v>12</v>
      </c>
      <c r="AB12" s="4">
        <f>X11</f>
        <v>22</v>
      </c>
      <c r="AC12" s="18">
        <f>X11+7</f>
        <v>29</v>
      </c>
      <c r="AD12" s="5">
        <f>X11+9</f>
        <v>31</v>
      </c>
    </row>
    <row r="14" spans="2:30" x14ac:dyDescent="0.25">
      <c r="C14" s="9"/>
      <c r="D14" s="16" t="s">
        <v>0</v>
      </c>
      <c r="E14" s="16" t="s">
        <v>1</v>
      </c>
      <c r="F14" s="16" t="s">
        <v>2</v>
      </c>
      <c r="K14" s="9"/>
      <c r="L14" s="10" t="s">
        <v>0</v>
      </c>
      <c r="M14" s="16" t="s">
        <v>1</v>
      </c>
      <c r="N14" s="10" t="s">
        <v>2</v>
      </c>
      <c r="S14" s="9"/>
      <c r="T14" s="10" t="s">
        <v>0</v>
      </c>
      <c r="U14" s="16" t="s">
        <v>1</v>
      </c>
      <c r="V14" s="10" t="s">
        <v>2</v>
      </c>
      <c r="AA14" s="9"/>
      <c r="AB14" s="10" t="s">
        <v>0</v>
      </c>
      <c r="AC14" s="16" t="s">
        <v>1</v>
      </c>
      <c r="AD14" s="10" t="s">
        <v>2</v>
      </c>
    </row>
    <row r="15" spans="2:30" s="1" customFormat="1" x14ac:dyDescent="0.25">
      <c r="B15" s="15" t="s">
        <v>15</v>
      </c>
      <c r="C15" s="11" t="s">
        <v>5</v>
      </c>
      <c r="D15" s="20" t="str">
        <f>TEXT(D16,"dddd")</f>
        <v>segunda-feira</v>
      </c>
      <c r="E15" s="20" t="str">
        <f>TEXT(E16,"dddd")</f>
        <v>segunda-feira</v>
      </c>
      <c r="F15" s="20" t="str">
        <f>TEXT(F16,"dddd")</f>
        <v>quarta-feira</v>
      </c>
      <c r="H15" s="21" t="s">
        <v>7</v>
      </c>
      <c r="I15" s="21" t="s">
        <v>6</v>
      </c>
      <c r="K15" s="11" t="s">
        <v>5</v>
      </c>
      <c r="L15" s="1" t="str">
        <f>TEXT(L16,"dddd")</f>
        <v>quinta-feira</v>
      </c>
      <c r="M15" s="22" t="str">
        <f>TEXT(M16,"dddd")</f>
        <v>quinta-feira</v>
      </c>
      <c r="N15" s="23" t="str">
        <f>TEXT(N16,"dddd")</f>
        <v>sábado</v>
      </c>
      <c r="P15" s="21" t="s">
        <v>7</v>
      </c>
      <c r="Q15" s="21" t="s">
        <v>6</v>
      </c>
      <c r="S15" s="11" t="s">
        <v>5</v>
      </c>
      <c r="T15" s="1" t="str">
        <f>TEXT(T16,"dddd")</f>
        <v>sábado</v>
      </c>
      <c r="U15" s="22" t="str">
        <f>TEXT(U16,"dddd")</f>
        <v>sábado</v>
      </c>
      <c r="V15" s="23" t="str">
        <f>TEXT(V16,"dddd")</f>
        <v>segunda-feira</v>
      </c>
      <c r="X15" s="21" t="s">
        <v>7</v>
      </c>
      <c r="Y15" s="21" t="s">
        <v>6</v>
      </c>
      <c r="AA15" s="11" t="s">
        <v>5</v>
      </c>
      <c r="AB15" s="1" t="str">
        <f>TEXT(AB16,"dddd")</f>
        <v>terça-feira</v>
      </c>
      <c r="AC15" s="22" t="str">
        <f>TEXT(AC16,"dddd")</f>
        <v>terça-feira</v>
      </c>
      <c r="AD15" s="23" t="str">
        <f>TEXT(AD16,"dddd")</f>
        <v>quinta-feira</v>
      </c>
    </row>
    <row r="16" spans="2:30" x14ac:dyDescent="0.25">
      <c r="B16" s="15"/>
      <c r="C16" s="11" t="s">
        <v>4</v>
      </c>
      <c r="D16" s="17">
        <v>46055</v>
      </c>
      <c r="E16" s="17">
        <f>D16+7</f>
        <v>46062</v>
      </c>
      <c r="F16" s="17">
        <f>D16+9</f>
        <v>46064</v>
      </c>
      <c r="H16" s="13">
        <v>22</v>
      </c>
      <c r="I16" s="13"/>
      <c r="K16" s="11" t="s">
        <v>4</v>
      </c>
      <c r="L16" s="2">
        <f>F16+H16</f>
        <v>46086</v>
      </c>
      <c r="M16" s="17">
        <f>L16+7</f>
        <v>46093</v>
      </c>
      <c r="N16" s="3">
        <f>L16+9</f>
        <v>46095</v>
      </c>
      <c r="P16" s="13">
        <v>21</v>
      </c>
      <c r="Q16" s="13"/>
      <c r="S16" s="11" t="s">
        <v>4</v>
      </c>
      <c r="T16" s="2">
        <f>N16+P16</f>
        <v>46116</v>
      </c>
      <c r="U16" s="17">
        <f>T16+7</f>
        <v>46123</v>
      </c>
      <c r="V16" s="3">
        <f>T16+9</f>
        <v>46125</v>
      </c>
      <c r="X16" s="13">
        <v>22</v>
      </c>
      <c r="Y16" s="13"/>
      <c r="AA16" s="11" t="s">
        <v>4</v>
      </c>
      <c r="AB16" s="2">
        <f>V16+X16</f>
        <v>46147</v>
      </c>
      <c r="AC16" s="17">
        <f>AB16+7</f>
        <v>46154</v>
      </c>
      <c r="AD16" s="3">
        <f>AB16+9</f>
        <v>46156</v>
      </c>
    </row>
    <row r="17" spans="2:30" x14ac:dyDescent="0.25">
      <c r="B17" s="15"/>
      <c r="C17" s="12" t="s">
        <v>12</v>
      </c>
      <c r="D17" s="18">
        <v>0</v>
      </c>
      <c r="E17" s="18">
        <v>7</v>
      </c>
      <c r="F17" s="19">
        <v>9</v>
      </c>
      <c r="H17" s="14" t="s">
        <v>8</v>
      </c>
      <c r="I17" s="14"/>
      <c r="K17" s="12" t="s">
        <v>12</v>
      </c>
      <c r="L17" s="4">
        <f>H16</f>
        <v>22</v>
      </c>
      <c r="M17" s="18">
        <f>H16+7</f>
        <v>29</v>
      </c>
      <c r="N17" s="5">
        <f>H16+9</f>
        <v>31</v>
      </c>
      <c r="P17" s="14" t="s">
        <v>8</v>
      </c>
      <c r="Q17" s="14"/>
      <c r="S17" s="12" t="s">
        <v>12</v>
      </c>
      <c r="T17" s="4">
        <f>P16</f>
        <v>21</v>
      </c>
      <c r="U17" s="18">
        <f>P16+7</f>
        <v>28</v>
      </c>
      <c r="V17" s="5">
        <f>P16+9</f>
        <v>30</v>
      </c>
      <c r="X17" s="14" t="s">
        <v>8</v>
      </c>
      <c r="Y17" s="14"/>
      <c r="AA17" s="12" t="s">
        <v>12</v>
      </c>
      <c r="AB17" s="4">
        <f>X16</f>
        <v>22</v>
      </c>
      <c r="AC17" s="18">
        <f>X16+7</f>
        <v>29</v>
      </c>
      <c r="AD17" s="5">
        <f>X16+9</f>
        <v>31</v>
      </c>
    </row>
  </sheetData>
  <mergeCells count="25">
    <mergeCell ref="X17:Y17"/>
    <mergeCell ref="X11:Y11"/>
    <mergeCell ref="H12:I12"/>
    <mergeCell ref="P12:Q12"/>
    <mergeCell ref="X12:Y12"/>
    <mergeCell ref="B15:B17"/>
    <mergeCell ref="H16:I16"/>
    <mergeCell ref="P16:Q16"/>
    <mergeCell ref="X16:Y16"/>
    <mergeCell ref="H17:I17"/>
    <mergeCell ref="P17:Q17"/>
    <mergeCell ref="S2:V2"/>
    <mergeCell ref="P6:Q6"/>
    <mergeCell ref="P7:Q7"/>
    <mergeCell ref="AA2:AD2"/>
    <mergeCell ref="X6:Y6"/>
    <mergeCell ref="X7:Y7"/>
    <mergeCell ref="B5:B7"/>
    <mergeCell ref="C2:F2"/>
    <mergeCell ref="K2:N2"/>
    <mergeCell ref="H6:I6"/>
    <mergeCell ref="H7:I7"/>
    <mergeCell ref="B10:B12"/>
    <mergeCell ref="H11:I11"/>
    <mergeCell ref="P11:Q1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Ronyson Martins</dc:creator>
  <cp:lastModifiedBy>Ronyson Martins</cp:lastModifiedBy>
  <dcterms:created xsi:type="dcterms:W3CDTF">2026-02-12T20:45:04Z</dcterms:created>
  <dcterms:modified xsi:type="dcterms:W3CDTF">2026-02-12T21:06:14Z</dcterms:modified>
</cp:coreProperties>
</file>